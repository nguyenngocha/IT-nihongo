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Tinh Tien" sheetId="1" r:id="rId1"/>
  </sheets>
  <calcPr calcId="152511"/>
</workbook>
</file>

<file path=xl/calcChain.xml><?xml version="1.0" encoding="utf-8"?>
<calcChain xmlns="http://schemas.openxmlformats.org/spreadsheetml/2006/main">
  <c r="G2" i="1" l="1"/>
  <c r="G3" i="1"/>
  <c r="G4" i="1"/>
  <c r="G5" i="1"/>
  <c r="G24" i="1" l="1"/>
  <c r="G19" i="1"/>
  <c r="G21" i="1"/>
  <c r="G2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22" i="1"/>
  <c r="G23" i="1"/>
</calcChain>
</file>

<file path=xl/sharedStrings.xml><?xml version="1.0" encoding="utf-8"?>
<sst xmlns="http://schemas.openxmlformats.org/spreadsheetml/2006/main" count="17" uniqueCount="17">
  <si>
    <t>So Ma Vach</t>
    <phoneticPr fontId="1"/>
  </si>
  <si>
    <t>Ten Mat Hang</t>
    <phoneticPr fontId="1"/>
  </si>
  <si>
    <t>So Luong</t>
    <phoneticPr fontId="1"/>
  </si>
  <si>
    <t>Don Gia</t>
    <phoneticPr fontId="1"/>
  </si>
  <si>
    <t>Thanh Tien</t>
    <phoneticPr fontId="1"/>
  </si>
  <si>
    <t>Tong Cong</t>
    <phoneticPr fontId="1"/>
  </si>
  <si>
    <t>SUM</t>
  </si>
  <si>
    <t>STT</t>
    <phoneticPr fontId="1"/>
  </si>
  <si>
    <t>Dia Chi Kho Hang</t>
  </si>
  <si>
    <t>Sheet</t>
    <phoneticPr fontId="1"/>
  </si>
  <si>
    <t>File</t>
    <phoneticPr fontId="1"/>
  </si>
  <si>
    <t>C:\Users\gcx008402\Desktop\kho hang.xlsm</t>
    <phoneticPr fontId="1"/>
  </si>
  <si>
    <t>Han Su Dung</t>
    <phoneticPr fontId="1"/>
  </si>
  <si>
    <t>bq</t>
    <phoneticPr fontId="1"/>
  </si>
  <si>
    <t>sg</t>
    <phoneticPr fontId="1"/>
  </si>
  <si>
    <t>Bia sai gon</t>
    <phoneticPr fontId="1"/>
  </si>
  <si>
    <t>Banh quy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</si>
</sst>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);\(#,##0\)"/>
    <numFmt numFmtId="177" formatCode="[$-1010000]d/m/yyyy;@"/>
  </numFmts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rgb="FF00B05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1" xfId="0" applyFont="1" applyFill="1" applyBorder="1"/>
    <xf numFmtId="0" fontId="3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1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3" borderId="5" xfId="0" applyFill="1" applyBorder="1" applyAlignment="1">
      <alignment horizontal="center" vertical="center"/>
    </xf>
    <xf numFmtId="0" fontId="6" fillId="0" borderId="0" xfId="0" applyFont="1"/>
    <xf numFmtId="0" fontId="0" fillId="0" borderId="0" xfId="0" applyBorder="1" applyAlignment="1"/>
    <xf numFmtId="38" fontId="0" fillId="0" borderId="2" xfId="0" applyNumberFormat="1" applyBorder="1"/>
    <xf numFmtId="38" fontId="0" fillId="0" borderId="3" xfId="0" applyNumberFormat="1" applyBorder="1" applyAlignment="1">
      <alignment vertical="center"/>
    </xf>
    <xf numFmtId="38" fontId="0" fillId="0" borderId="4" xfId="0" applyNumberFormat="1" applyBorder="1" applyAlignment="1">
      <alignment vertical="center"/>
    </xf>
    <xf numFmtId="177" fontId="0" fillId="0" borderId="2" xfId="0" applyNumberFormat="1" applyBorder="1"/>
    <xf numFmtId="177" fontId="0" fillId="0" borderId="3" xfId="0" applyNumberFormat="1" applyBorder="1"/>
    <xf numFmtId="177" fontId="0" fillId="0" borderId="4" xfId="0" applyNumberFormat="1" applyBorder="1"/>
    <xf numFmtId="0" fontId="0" fillId="3" borderId="6" xfId="0" applyFill="1" applyBorder="1" applyAlignment="1">
      <alignment horizontal="center" vertical="center"/>
    </xf>
    <xf numFmtId="38" fontId="0" fillId="4" borderId="2" xfId="0" applyNumberFormat="1" applyFill="1" applyBorder="1"/>
    <xf numFmtId="38" fontId="0" fillId="4" borderId="3" xfId="0" applyNumberFormat="1" applyFill="1" applyBorder="1" applyAlignment="1">
      <alignment vertical="center"/>
    </xf>
    <xf numFmtId="38" fontId="0" fillId="4" borderId="4" xfId="0" applyNumberFormat="1" applyFill="1" applyBorder="1" applyAlignment="1">
      <alignment vertical="center"/>
    </xf>
    <xf numFmtId="176" fontId="0" fillId="4" borderId="1" xfId="0" applyNumberFormat="1" applyFill="1" applyBorder="1" applyAlignment="1">
      <alignment vertical="center"/>
    </xf>
    <xf numFmtId="0" fontId="7" fillId="0" borderId="0" xfId="0" applyFont="1" applyAlignment="1">
      <alignment horizontal="righ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9525</xdr:rowOff>
        </xdr:from>
        <xdr:to>
          <xdr:col>6</xdr:col>
          <xdr:colOff>1123950</xdr:colOff>
          <xdr:row>32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0</xdr:rowOff>
        </xdr:from>
        <xdr:to>
          <xdr:col>3</xdr:col>
          <xdr:colOff>1219200</xdr:colOff>
          <xdr:row>33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23</xdr:row>
          <xdr:rowOff>9525</xdr:rowOff>
        </xdr:from>
        <xdr:to>
          <xdr:col>3</xdr:col>
          <xdr:colOff>0</xdr:colOff>
          <xdr:row>23</xdr:row>
          <xdr:rowOff>285750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Tu Dong Tinh Tien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9525</xdr:rowOff>
        </xdr:from>
        <xdr:to>
          <xdr:col>5</xdr:col>
          <xdr:colOff>0</xdr:colOff>
          <xdr:row>23</xdr:row>
          <xdr:rowOff>285750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Thanh toan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K33"/>
  <sheetViews>
    <sheetView tabSelected="1" workbookViewId="0">
      <selection activeCell="H1" sqref="H1"/>
    </sheetView>
  </sheetViews>
  <sheetFormatPr defaultRowHeight="13.5" x14ac:dyDescent="0.15"/>
  <cols>
    <col min="1" max="1" width="5.25" customWidth="1"/>
    <col min="2" max="2" width="16.75" customWidth="1"/>
    <col min="3" max="4" width="19" customWidth="1"/>
    <col min="5" max="5" width="15.875" customWidth="1"/>
    <col min="6" max="6" width="16.75" customWidth="1"/>
    <col min="7" max="7" width="14.875" bestFit="1" customWidth="1"/>
  </cols>
  <sheetData>
    <row r="1" spans="1:8" ht="17.25" x14ac:dyDescent="0.2">
      <c r="A1" s="1" t="s">
        <v>7</v>
      </c>
      <c r="B1" s="1" t="s">
        <v>0</v>
      </c>
      <c r="C1" s="1" t="s">
        <v>1</v>
      </c>
      <c r="D1" s="1" t="s">
        <v>12</v>
      </c>
      <c r="E1" s="1" t="s">
        <v>2</v>
      </c>
      <c r="F1" s="1" t="s">
        <v>3</v>
      </c>
      <c r="G1" s="1" t="s">
        <v>4</v>
      </c>
      <c r="H1" s="23"/>
    </row>
    <row r="2" spans="1:8" x14ac:dyDescent="0.15">
      <c r="A2" s="3">
        <v>1</v>
      </c>
      <c r="B2" s="24" t="s">
        <v>13</v>
      </c>
      <c r="C2" s="3" t="s">
        <v>16</v>
      </c>
      <c r="D2" s="15">
        <v>43774</v>
      </c>
      <c r="E2" s="3">
        <v>25</v>
      </c>
      <c r="F2" s="12">
        <v>35000</v>
      </c>
      <c r="G2" s="19">
        <f>IF(F2="","",IF(E2="","",F2*E2))</f>
        <v>875000</v>
      </c>
    </row>
    <row r="3" spans="1:8" x14ac:dyDescent="0.15">
      <c r="A3" s="4">
        <v>2</v>
      </c>
      <c r="B3" s="25" t="s">
        <v>14</v>
      </c>
      <c r="C3" s="4" t="s">
        <v>15</v>
      </c>
      <c r="D3" s="16">
        <v>43774</v>
      </c>
      <c r="E3" s="7">
        <v>1</v>
      </c>
      <c r="F3" s="13">
        <v>210000</v>
      </c>
      <c r="G3" s="20">
        <f t="shared" ref="G3:G23" si="0">IF(F3="","",IF(E3="","",F3*E3))</f>
        <v>210000</v>
      </c>
    </row>
    <row r="4" spans="1:8" x14ac:dyDescent="0.15">
      <c r="A4" s="4"/>
      <c r="B4" s="25"/>
      <c r="C4" s="4"/>
      <c r="D4" s="16"/>
      <c r="E4" s="7"/>
      <c r="F4" s="13"/>
      <c r="G4" s="20" t="str">
        <f t="shared" si="0"/>
        <v/>
      </c>
    </row>
    <row r="5" spans="1:8" x14ac:dyDescent="0.15">
      <c r="A5" s="4"/>
      <c r="B5" s="25"/>
      <c r="C5" s="4"/>
      <c r="D5" s="16"/>
      <c r="E5" s="7"/>
      <c r="F5" s="13"/>
      <c r="G5" s="20" t="str">
        <f t="shared" si="0"/>
        <v/>
      </c>
    </row>
    <row r="6" spans="1:8" x14ac:dyDescent="0.15">
      <c r="A6" s="4"/>
      <c r="B6" s="25"/>
      <c r="C6" s="4"/>
      <c r="D6" s="16"/>
      <c r="E6" s="7"/>
      <c r="F6" s="13"/>
      <c r="G6" s="20" t="str">
        <f t="shared" si="0"/>
        <v/>
      </c>
    </row>
    <row r="7" spans="1:8" x14ac:dyDescent="0.15">
      <c r="A7" s="4"/>
      <c r="B7" s="25"/>
      <c r="C7" s="16"/>
      <c r="D7" s="16"/>
      <c r="E7" s="7"/>
      <c r="F7" s="13"/>
      <c r="G7" s="20" t="str">
        <f t="shared" si="0"/>
        <v/>
      </c>
    </row>
    <row r="8" spans="1:8" x14ac:dyDescent="0.15">
      <c r="A8" s="4"/>
      <c r="B8" s="25"/>
      <c r="C8" s="4"/>
      <c r="E8" s="7"/>
      <c r="F8" s="13"/>
      <c r="G8" s="20" t="str">
        <f t="shared" si="0"/>
        <v/>
      </c>
    </row>
    <row r="9" spans="1:8" x14ac:dyDescent="0.15">
      <c r="A9" s="4"/>
      <c r="B9" s="25"/>
      <c r="C9" s="4"/>
      <c r="D9" s="16"/>
      <c r="E9" s="7"/>
      <c r="F9" s="13"/>
      <c r="G9" s="20" t="str">
        <f t="shared" si="0"/>
        <v/>
      </c>
    </row>
    <row r="10" spans="1:8" x14ac:dyDescent="0.15">
      <c r="A10" s="4"/>
      <c r="B10" s="25"/>
      <c r="C10" s="4"/>
      <c r="D10" s="16"/>
      <c r="E10" s="7"/>
      <c r="F10" s="13"/>
      <c r="G10" s="20" t="str">
        <f t="shared" si="0"/>
        <v/>
      </c>
    </row>
    <row r="11" spans="1:8" x14ac:dyDescent="0.15">
      <c r="A11" s="4"/>
      <c r="B11" s="25"/>
      <c r="C11" s="4"/>
      <c r="D11" s="16"/>
      <c r="E11" s="7"/>
      <c r="F11" s="13"/>
      <c r="G11" s="20" t="str">
        <f t="shared" si="0"/>
        <v/>
      </c>
    </row>
    <row r="12" spans="1:8" x14ac:dyDescent="0.15">
      <c r="A12" s="4"/>
      <c r="B12" s="25"/>
      <c r="C12" s="4"/>
      <c r="D12" s="16"/>
      <c r="E12" s="7"/>
      <c r="F12" s="13"/>
      <c r="G12" s="20" t="str">
        <f t="shared" si="0"/>
        <v/>
      </c>
    </row>
    <row r="13" spans="1:8" x14ac:dyDescent="0.15">
      <c r="A13" s="4"/>
      <c r="B13" s="25"/>
      <c r="C13" s="4"/>
      <c r="D13" s="16"/>
      <c r="E13" s="7"/>
      <c r="F13" s="13"/>
      <c r="G13" s="20" t="str">
        <f t="shared" si="0"/>
        <v/>
      </c>
    </row>
    <row r="14" spans="1:8" x14ac:dyDescent="0.15">
      <c r="A14" s="4"/>
      <c r="B14" s="25"/>
      <c r="C14" s="4"/>
      <c r="D14" s="16"/>
      <c r="E14" s="7"/>
      <c r="F14" s="13"/>
      <c r="G14" s="20" t="str">
        <f t="shared" si="0"/>
        <v/>
      </c>
    </row>
    <row r="15" spans="1:8" x14ac:dyDescent="0.15">
      <c r="A15" s="4"/>
      <c r="B15" s="25"/>
      <c r="C15" s="4"/>
      <c r="D15" s="16"/>
      <c r="E15" s="7"/>
      <c r="F15" s="13"/>
      <c r="G15" s="20" t="str">
        <f t="shared" si="0"/>
        <v/>
      </c>
    </row>
    <row r="16" spans="1:8" x14ac:dyDescent="0.15">
      <c r="A16" s="4"/>
      <c r="B16" s="25"/>
      <c r="C16" s="4"/>
      <c r="D16" s="16"/>
      <c r="E16" s="7"/>
      <c r="F16" s="13"/>
      <c r="G16" s="20" t="str">
        <f t="shared" si="0"/>
        <v/>
      </c>
    </row>
    <row r="17" spans="1:63" x14ac:dyDescent="0.15">
      <c r="A17" s="4"/>
      <c r="B17" s="25"/>
      <c r="C17" s="4"/>
      <c r="D17" s="16"/>
      <c r="E17" s="7"/>
      <c r="F17" s="13"/>
      <c r="G17" s="20" t="str">
        <f t="shared" si="0"/>
        <v/>
      </c>
    </row>
    <row r="18" spans="1:63" x14ac:dyDescent="0.15">
      <c r="A18" s="4"/>
      <c r="B18" s="25"/>
      <c r="C18" s="4"/>
      <c r="D18" s="16"/>
      <c r="F18" s="13"/>
      <c r="G18" s="20" t="str">
        <f>IF(F18="","",IF(E19="","",F18*E19))</f>
        <v/>
      </c>
    </row>
    <row r="19" spans="1:63" x14ac:dyDescent="0.15">
      <c r="A19" s="4"/>
      <c r="B19" s="25"/>
      <c r="C19" s="4"/>
      <c r="D19" s="16"/>
      <c r="E19" s="7"/>
      <c r="F19" s="13"/>
      <c r="G19" s="20" t="str">
        <f>IF(F19="","",IF(E20="","",F19*E20))</f>
        <v/>
      </c>
    </row>
    <row r="20" spans="1:63" x14ac:dyDescent="0.15">
      <c r="A20" s="4"/>
      <c r="B20" s="25"/>
      <c r="C20" s="4"/>
      <c r="D20" s="16"/>
      <c r="E20" s="7"/>
      <c r="F20" s="13"/>
      <c r="G20" s="20" t="str">
        <f>IF(F20="","",IF(#REF!="","",F20*#REF!))</f>
        <v/>
      </c>
    </row>
    <row r="21" spans="1:63" x14ac:dyDescent="0.15">
      <c r="A21" s="4"/>
      <c r="B21" s="25"/>
      <c r="C21" s="4"/>
      <c r="D21" s="16"/>
      <c r="E21" s="7"/>
      <c r="F21" s="13"/>
      <c r="G21" s="20" t="str">
        <f t="shared" si="0"/>
        <v/>
      </c>
    </row>
    <row r="22" spans="1:63" x14ac:dyDescent="0.15">
      <c r="A22" s="4"/>
      <c r="B22" s="25"/>
      <c r="C22" s="4"/>
      <c r="D22" s="16"/>
      <c r="E22" s="7"/>
      <c r="F22" s="13"/>
      <c r="G22" s="20" t="str">
        <f t="shared" si="0"/>
        <v/>
      </c>
    </row>
    <row r="23" spans="1:63" x14ac:dyDescent="0.15">
      <c r="A23" s="5"/>
      <c r="B23" s="26"/>
      <c r="C23" s="5"/>
      <c r="D23" s="17"/>
      <c r="E23" s="8"/>
      <c r="F23" s="14"/>
      <c r="G23" s="21" t="str">
        <f t="shared" si="0"/>
        <v/>
      </c>
    </row>
    <row r="24" spans="1:63" ht="23.25" customHeight="1" x14ac:dyDescent="0.15">
      <c r="E24" s="2"/>
      <c r="F24" s="6" t="s">
        <v>5</v>
      </c>
      <c r="G24" s="22">
        <f>IF(SUM(G2:G23)=0, "", SUM(G2:G23))</f>
        <v>1085000</v>
      </c>
      <c r="BK24" s="2" t="s">
        <v>6</v>
      </c>
    </row>
    <row r="31" spans="1:63" x14ac:dyDescent="0.15">
      <c r="B31" s="10" t="s">
        <v>8</v>
      </c>
    </row>
    <row r="32" spans="1:63" ht="15.75" customHeight="1" x14ac:dyDescent="0.15">
      <c r="B32" s="9" t="s">
        <v>10</v>
      </c>
      <c r="C32" s="27" t="s">
        <v>11</v>
      </c>
      <c r="D32" s="27"/>
      <c r="E32" s="27"/>
      <c r="F32" s="27"/>
    </row>
    <row r="33" spans="2:6" ht="15.75" customHeight="1" x14ac:dyDescent="0.15">
      <c r="B33" s="18" t="s">
        <v>9</v>
      </c>
      <c r="C33" s="11"/>
      <c r="D33" s="11"/>
      <c r="E33" s="11"/>
      <c r="F33" s="11"/>
    </row>
  </sheetData>
  <mergeCells count="1">
    <mergeCell ref="C32:F32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boBox1">
          <controlPr defaultSize="0" autoLine="0" r:id="rId5">
            <anchor moveWithCells="1">
              <from>
                <xdr:col>2</xdr:col>
                <xdr:colOff>0</xdr:colOff>
                <xdr:row>32</xdr:row>
                <xdr:rowOff>0</xdr:rowOff>
              </from>
              <to>
                <xdr:col>3</xdr:col>
                <xdr:colOff>1219200</xdr:colOff>
                <xdr:row>33</xdr:row>
                <xdr:rowOff>9525</xdr:rowOff>
              </to>
            </anchor>
          </controlPr>
        </control>
      </mc:Choice>
      <mc:Fallback>
        <control shapeId="1027" r:id="rId4" name="ComboBox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FileSelector.chooseFile">
            <anchor moveWithCells="1" sizeWithCells="1">
              <from>
                <xdr:col>6</xdr:col>
                <xdr:colOff>0</xdr:colOff>
                <xdr:row>31</xdr:row>
                <xdr:rowOff>9525</xdr:rowOff>
              </from>
              <to>
                <xdr:col>6</xdr:col>
                <xdr:colOff>1123950</xdr:colOff>
                <xdr:row>32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TinhTien.tinhTien">
            <anchor moveWithCells="1" sizeWithCells="1">
              <from>
                <xdr:col>2</xdr:col>
                <xdr:colOff>0</xdr:colOff>
                <xdr:row>23</xdr:row>
                <xdr:rowOff>9525</xdr:rowOff>
              </from>
              <to>
                <xdr:col>3</xdr:col>
                <xdr:colOff>0</xdr:colOff>
                <xdr:row>23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" name="Button 9">
          <controlPr defaultSize="0" print="0" autoFill="0" autoPict="0" macro="[0]!thanhtoan">
            <anchor moveWithCells="1" sizeWithCells="1">
              <from>
                <xdr:col>4</xdr:col>
                <xdr:colOff>0</xdr:colOff>
                <xdr:row>23</xdr:row>
                <xdr:rowOff>9525</xdr:rowOff>
              </from>
              <to>
                <xdr:col>5</xdr:col>
                <xdr:colOff>0</xdr:colOff>
                <xdr:row>23</xdr:row>
                <xdr:rowOff>285750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Tinh Tien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2018-11-06T04:21:40Z</dcterms:modified>
</cp:coreProperties>
</file>